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LSM - Gedung Utama" sheetId="1" r:id="rId4"/>
    <sheet state="visible" name="CIDR - Ara Tech" sheetId="2" r:id="rId5"/>
  </sheets>
  <definedNames/>
  <calcPr/>
</workbook>
</file>

<file path=xl/sharedStrings.xml><?xml version="1.0" encoding="utf-8"?>
<sst xmlns="http://schemas.openxmlformats.org/spreadsheetml/2006/main" count="104" uniqueCount="92">
  <si>
    <t>Nama Unit</t>
  </si>
  <si>
    <t>Kebutuhan Host (Asli)</t>
  </si>
  <si>
    <t>Host + Cadangan (20%)</t>
  </si>
  <si>
    <t>Block Size (2^n)</t>
  </si>
  <si>
    <t>Prefix (CIDR)</t>
  </si>
  <si>
    <t>Subnet Mask</t>
  </si>
  <si>
    <t>Network ID</t>
  </si>
  <si>
    <t>Range IP Usable</t>
  </si>
  <si>
    <t>Broadcast Address</t>
  </si>
  <si>
    <t>Unit Layanan Ops</t>
  </si>
  <si>
    <t>/23</t>
  </si>
  <si>
    <t>255.255.254.0</t>
  </si>
  <si>
    <t>172.16.0.0</t>
  </si>
  <si>
    <t>172.16.0.1 - 172.16.1.254</t>
  </si>
  <si>
    <t>172.16.1.255</t>
  </si>
  <si>
    <t>Unit Kurikulum</t>
  </si>
  <si>
    <t>172.16.2.0</t>
  </si>
  <si>
    <t>172.16.2.1 - 172.16.3.254</t>
  </si>
  <si>
    <t>172.16.3.255</t>
  </si>
  <si>
    <t>Unit SDM</t>
  </si>
  <si>
    <t>/25</t>
  </si>
  <si>
    <t>255.255.255.128</t>
  </si>
  <si>
    <t>172.16.4.0</t>
  </si>
  <si>
    <t>172.16.4.1 - 172.16.4.126</t>
  </si>
  <si>
    <t>172.16.4.127</t>
  </si>
  <si>
    <t>Unit Sarpras</t>
  </si>
  <si>
    <t>/26</t>
  </si>
  <si>
    <t>255.255.255.192</t>
  </si>
  <si>
    <t>172.16.4.128</t>
  </si>
  <si>
    <t>172.16.4.129 - 172.16.4.190</t>
  </si>
  <si>
    <t>172.16.4.191</t>
  </si>
  <si>
    <t>Unit Pembinaan</t>
  </si>
  <si>
    <t>/27</t>
  </si>
  <si>
    <t>255.255.255.224</t>
  </si>
  <si>
    <t>172.16.4.192</t>
  </si>
  <si>
    <t>172.16.4.193 - 172.16.4.222</t>
  </si>
  <si>
    <t>172.16.4.223</t>
  </si>
  <si>
    <t>Unit IT Pend</t>
  </si>
  <si>
    <t>/28</t>
  </si>
  <si>
    <t>255.255.255.240</t>
  </si>
  <si>
    <t>172.16.4.224</t>
  </si>
  <si>
    <t>172.16.4.225 - 172.16.4.238</t>
  </si>
  <si>
    <t>172.16.4.239</t>
  </si>
  <si>
    <t>TOTAL</t>
  </si>
  <si>
    <t>/21</t>
  </si>
  <si>
    <t>TABEL SUBNETTING 3A</t>
  </si>
  <si>
    <t>Kode</t>
  </si>
  <si>
    <t>Area (Gabungan Unit)</t>
  </si>
  <si>
    <t>Total Host Asli</t>
  </si>
  <si>
    <t>Block Size</t>
  </si>
  <si>
    <t>Prefix</t>
  </si>
  <si>
    <t>A1</t>
  </si>
  <si>
    <t>Lantai 1
(IT Supp, Cyber, Svr Room)</t>
  </si>
  <si>
    <t>45+22+12 = 79</t>
  </si>
  <si>
    <t>10.0.0.0</t>
  </si>
  <si>
    <t>10.0.0.1 - 10.0.0.126</t>
  </si>
  <si>
    <t>10.0.0.127</t>
  </si>
  <si>
    <t>A2</t>
  </si>
  <si>
    <t>Lantai 2
(Mkt, Sales, HR)</t>
  </si>
  <si>
    <t>35+25+25 = 85</t>
  </si>
  <si>
    <t>10.0.0.128</t>
  </si>
  <si>
    <t>10.0.0.129 - 10.0.0.254</t>
  </si>
  <si>
    <t>10.0.0.255</t>
  </si>
  <si>
    <t>A3</t>
  </si>
  <si>
    <t>Lantai 3
(R&amp;D, Ppl Dev)</t>
  </si>
  <si>
    <t>55+5(svr)+18 = 78</t>
  </si>
  <si>
    <t>10.0.1.0</t>
  </si>
  <si>
    <t>10.0.1.1 - 10.0.1.126</t>
  </si>
  <si>
    <t>10.0.1.127</t>
  </si>
  <si>
    <t>A4</t>
  </si>
  <si>
    <t>Lantai 4
(Keu, Legal, CS)</t>
  </si>
  <si>
    <t>28+18+40 = 86</t>
  </si>
  <si>
    <t>10.0.1.128</t>
  </si>
  <si>
    <t>10.0.1.129 - 10.0.1.254</t>
  </si>
  <si>
    <t>10.0.1.255</t>
  </si>
  <si>
    <t>A5</t>
  </si>
  <si>
    <t>Lantai 5
(Audit, Lounge, Exec)</t>
  </si>
  <si>
    <t>15+10+12 = 37</t>
  </si>
  <si>
    <t>10.0.2.0</t>
  </si>
  <si>
    <t>10.0.2.1 - 10.0.2.62</t>
  </si>
  <si>
    <t>10.0.2.63</t>
  </si>
  <si>
    <t>Tabel Supernetting / Aggregation (Level B)</t>
  </si>
  <si>
    <t>Network Aggregation (CIDR Block)</t>
  </si>
  <si>
    <t>Prefix Baru</t>
  </si>
  <si>
    <t>Range IP Total</t>
  </si>
  <si>
    <t>Penjelasan Singkat</t>
  </si>
  <si>
    <t>B2</t>
  </si>
  <si>
    <t>Gedung ARA Tech (Total)</t>
  </si>
  <si>
    <t>/22</t>
  </si>
  <si>
    <t>10.0.0.1 - 10.0.3.254</t>
  </si>
  <si>
    <t>PENJELASAN SINGKAT TERKAIT PENGGABUNGAN</t>
  </si>
  <si>
    <t>Subnet ini menggabungkan seluruh unit kerja di Lantai 1 s.d. Lantai 5 (A1-A5).Alasan Pemilihan Prefix: Total kebutuhan IP host dari seluruh lantai melebihi 512 alamat (batas maksimal /23), sehingga network diperluas menjadi /22 (kapasitas 1024 host) untuk skalabilitas.Terkait Koneksi Antar-Switch: Jalur koneksi dari Core Switch ke Switch Lantai tidak dibuatkan subnet terpisah (A6, dst) dan langsung melebur ke dalam topologi ini. Hal ini karena koneksi tersebut berfungsi sebagai Trunk (Layer 2) yang hanya bertugas melewatkan data, sehingga tidak membutuhkan Network ID atau alokasi IP sendiri.</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</si>
</sst>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rgb="FFFFFFFF"/>
      <name val="&quot;Google Sans Text&quot;"/>
    </font>
    <font>
      <b/>
      <color rgb="FF1F1F1F"/>
      <name val="&quot;Google Sans Text&quot;"/>
    </font>
    <font>
      <color rgb="FF1F1F1F"/>
      <name val="&quot;Google Sans Text&quot;"/>
    </font>
    <font>
      <color theme="1"/>
      <name val="Arial"/>
      <scheme val="minor"/>
    </font>
    <font>
      <b/>
      <color rgb="FF000000"/>
      <name val="&quot;Google Sans Text&quot;"/>
    </font>
    <font>
      <b/>
      <color theme="1"/>
      <name val="Arial"/>
      <scheme val="minor"/>
    </font>
    <font/>
  </fonts>
  <fills count="4">
    <fill>
      <patternFill patternType="none"/>
    </fill>
    <fill>
      <patternFill patternType="lightGray"/>
    </fill>
    <fill>
      <patternFill patternType="solid">
        <fgColor rgb="FFFFFF00"/>
        <bgColor rgb="FFFFFF00"/>
      </patternFill>
    </fill>
    <fill>
      <patternFill patternType="solid">
        <fgColor rgb="FF00FFFF"/>
        <bgColor rgb="FF00FFFF"/>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0" fontId="2" numFmtId="0" xfId="0" applyAlignment="1" applyBorder="1" applyFont="1">
      <alignment readingOrder="0"/>
    </xf>
    <xf borderId="1" fillId="0" fontId="3" numFmtId="0" xfId="0" applyAlignment="1" applyBorder="1" applyFont="1">
      <alignment readingOrder="0"/>
    </xf>
    <xf borderId="0" fillId="0" fontId="2" numFmtId="0" xfId="0" applyAlignment="1" applyFont="1">
      <alignment readingOrder="0"/>
    </xf>
    <xf borderId="0" fillId="0" fontId="3" numFmtId="0" xfId="0" applyAlignment="1" applyFont="1">
      <alignment readingOrder="0"/>
    </xf>
    <xf borderId="0" fillId="0" fontId="3" numFmtId="0" xfId="0" applyAlignment="1" applyFont="1">
      <alignment readingOrder="0"/>
    </xf>
    <xf borderId="0" fillId="0" fontId="2" numFmtId="0" xfId="0" applyAlignment="1" applyFont="1">
      <alignment readingOrder="0"/>
    </xf>
    <xf borderId="0" fillId="0" fontId="4" numFmtId="0" xfId="0" applyAlignment="1" applyFont="1">
      <alignment readingOrder="0"/>
    </xf>
    <xf borderId="0" fillId="0" fontId="5" numFmtId="0" xfId="0" applyAlignment="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horizontal="center" vertical="center"/>
    </xf>
    <xf borderId="1" fillId="0" fontId="1" numFmtId="0" xfId="0" applyAlignment="1" applyBorder="1" applyFont="1">
      <alignment horizontal="center" vertical="center"/>
    </xf>
    <xf borderId="1" fillId="0" fontId="2" numFmtId="0" xfId="0" applyAlignment="1" applyBorder="1" applyFont="1">
      <alignment horizontal="center" readingOrder="0" vertical="center"/>
    </xf>
    <xf borderId="1" fillId="0" fontId="3" numFmtId="0" xfId="0" applyAlignment="1" applyBorder="1" applyFont="1">
      <alignment horizontal="center" readingOrder="0" vertical="center"/>
    </xf>
    <xf borderId="0" fillId="0" fontId="6" numFmtId="0" xfId="0" applyAlignment="1" applyFont="1">
      <alignment horizontal="center" readingOrder="0" vertical="center"/>
    </xf>
    <xf borderId="1" fillId="2" fontId="2" numFmtId="0" xfId="0" applyAlignment="1" applyBorder="1" applyFill="1" applyFont="1">
      <alignment horizontal="center" readingOrder="0" vertical="center"/>
    </xf>
    <xf borderId="2" fillId="3" fontId="6" numFmtId="0" xfId="0" applyAlignment="1" applyBorder="1" applyFill="1" applyFont="1">
      <alignment readingOrder="0"/>
    </xf>
    <xf borderId="3" fillId="0" fontId="7" numFmtId="0" xfId="0" applyBorder="1" applyFont="1"/>
    <xf borderId="2" fillId="0" fontId="4" numFmtId="0" xfId="0" applyAlignment="1" applyBorder="1" applyFont="1">
      <alignment readingOrder="0" shrinkToFit="0" wrapText="1"/>
    </xf>
  </cellXfs>
  <cellStyles count="1">
    <cellStyle xfId="0" name="Normal" builtinId="0"/>
  </cellStyles>
  <dxfs count="4">
    <dxf>
      <font/>
      <fill>
        <patternFill patternType="none"/>
      </fill>
      <border/>
    </dxf>
    <dxf>
      <font/>
      <fill>
        <patternFill patternType="solid">
          <fgColor rgb="FF741B47"/>
          <bgColor rgb="FF741B47"/>
        </patternFill>
      </fill>
      <border/>
    </dxf>
    <dxf>
      <font/>
      <fill>
        <patternFill patternType="solid">
          <fgColor rgb="FFFFFFFF"/>
          <bgColor rgb="FFFFFFFF"/>
        </patternFill>
      </fill>
      <border/>
    </dxf>
    <dxf>
      <font/>
      <fill>
        <patternFill patternType="solid">
          <fgColor rgb="FFEAD1DC"/>
          <bgColor rgb="FFEAD1DC"/>
        </patternFill>
      </fill>
      <border/>
    </dxf>
  </dxfs>
  <tableStyles count="2">
    <tableStyle count="3" pivot="0" name="VLSM - Gedung Utama-style">
      <tableStyleElement dxfId="1" type="headerRow"/>
      <tableStyleElement dxfId="2" type="firstRowStripe"/>
      <tableStyleElement dxfId="3" type="secondRowStripe"/>
    </tableStyle>
    <tableStyle count="3" pivot="0" name="CIDR - Ara Tech-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8" displayName="Table_1" name="Table_1" id="1">
  <tableColumns count="9">
    <tableColumn name="Nama Unit" id="1"/>
    <tableColumn name="Kebutuhan Host (Asli)" id="2"/>
    <tableColumn name="Host + Cadangan (20%)" id="3"/>
    <tableColumn name="Block Size (2^n)" id="4"/>
    <tableColumn name="Prefix (CIDR)" id="5"/>
    <tableColumn name="Subnet Mask" id="6"/>
    <tableColumn name="Network ID" id="7"/>
    <tableColumn name="Range IP Usable" id="8"/>
    <tableColumn name="Broadcast Address" id="9"/>
  </tableColumns>
  <tableStyleInfo name="VLSM - Gedung Utama-style" showColumnStripes="0" showFirstColumn="1" showLastColumn="1" showRowStripes="1"/>
</table>
</file>

<file path=xl/tables/table2.xml><?xml version="1.0" encoding="utf-8"?>
<table xmlns="http://schemas.openxmlformats.org/spreadsheetml/2006/main" headerRowCount="0" ref="A2:I7" displayName="Table_2" name="Table_2" id="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CIDR - Ara Tech-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21.75"/>
    <col customWidth="1" min="3" max="3" width="21.25"/>
    <col customWidth="1" min="4" max="4" width="15.25"/>
    <col customWidth="1" min="6" max="6" width="18.63"/>
    <col customWidth="1" min="8" max="8" width="21.13"/>
    <col customWidth="1" min="9" max="9" width="15.88"/>
  </cols>
  <sheetData>
    <row r="1">
      <c r="A1" s="1" t="s">
        <v>0</v>
      </c>
      <c r="B1" s="1" t="s">
        <v>1</v>
      </c>
      <c r="C1" s="1" t="s">
        <v>2</v>
      </c>
      <c r="D1" s="1" t="s">
        <v>3</v>
      </c>
      <c r="E1" s="1" t="s">
        <v>4</v>
      </c>
      <c r="F1" s="1" t="s">
        <v>5</v>
      </c>
      <c r="G1" s="1" t="s">
        <v>6</v>
      </c>
      <c r="H1" s="1" t="s">
        <v>7</v>
      </c>
      <c r="I1" s="1" t="s">
        <v>8</v>
      </c>
    </row>
    <row r="2">
      <c r="A2" s="2" t="s">
        <v>9</v>
      </c>
      <c r="B2" s="3">
        <v>380.0</v>
      </c>
      <c r="C2" s="3">
        <v>456.0</v>
      </c>
      <c r="D2" s="3">
        <v>512.0</v>
      </c>
      <c r="E2" s="3" t="s">
        <v>10</v>
      </c>
      <c r="F2" s="3" t="s">
        <v>11</v>
      </c>
      <c r="G2" s="2" t="s">
        <v>12</v>
      </c>
      <c r="H2" s="3" t="s">
        <v>13</v>
      </c>
      <c r="I2" s="3" t="s">
        <v>14</v>
      </c>
    </row>
    <row r="3">
      <c r="A3" s="2" t="s">
        <v>15</v>
      </c>
      <c r="B3" s="3">
        <v>220.0</v>
      </c>
      <c r="C3" s="3">
        <v>264.0</v>
      </c>
      <c r="D3" s="3">
        <v>512.0</v>
      </c>
      <c r="E3" s="3" t="s">
        <v>10</v>
      </c>
      <c r="F3" s="3" t="s">
        <v>11</v>
      </c>
      <c r="G3" s="2" t="s">
        <v>16</v>
      </c>
      <c r="H3" s="3" t="s">
        <v>17</v>
      </c>
      <c r="I3" s="3" t="s">
        <v>18</v>
      </c>
    </row>
    <row r="4">
      <c r="A4" s="2" t="s">
        <v>19</v>
      </c>
      <c r="B4" s="3">
        <v>95.0</v>
      </c>
      <c r="C4" s="3">
        <v>114.0</v>
      </c>
      <c r="D4" s="3">
        <v>128.0</v>
      </c>
      <c r="E4" s="3" t="s">
        <v>20</v>
      </c>
      <c r="F4" s="3" t="s">
        <v>21</v>
      </c>
      <c r="G4" s="2" t="s">
        <v>22</v>
      </c>
      <c r="H4" s="3" t="s">
        <v>23</v>
      </c>
      <c r="I4" s="3" t="s">
        <v>24</v>
      </c>
    </row>
    <row r="5">
      <c r="A5" s="2" t="s">
        <v>25</v>
      </c>
      <c r="B5" s="3">
        <v>45.0</v>
      </c>
      <c r="C5" s="3">
        <v>54.0</v>
      </c>
      <c r="D5" s="3">
        <v>64.0</v>
      </c>
      <c r="E5" s="3" t="s">
        <v>26</v>
      </c>
      <c r="F5" s="3" t="s">
        <v>27</v>
      </c>
      <c r="G5" s="2" t="s">
        <v>28</v>
      </c>
      <c r="H5" s="3" t="s">
        <v>29</v>
      </c>
      <c r="I5" s="3" t="s">
        <v>30</v>
      </c>
    </row>
    <row r="6">
      <c r="A6" s="2" t="s">
        <v>31</v>
      </c>
      <c r="B6" s="3">
        <v>18.0</v>
      </c>
      <c r="C6" s="3">
        <v>22.0</v>
      </c>
      <c r="D6" s="3">
        <v>32.0</v>
      </c>
      <c r="E6" s="3" t="s">
        <v>32</v>
      </c>
      <c r="F6" s="3" t="s">
        <v>33</v>
      </c>
      <c r="G6" s="2" t="s">
        <v>34</v>
      </c>
      <c r="H6" s="3" t="s">
        <v>35</v>
      </c>
      <c r="I6" s="3" t="s">
        <v>36</v>
      </c>
    </row>
    <row r="7">
      <c r="A7" s="2" t="s">
        <v>37</v>
      </c>
      <c r="B7" s="3">
        <v>6.0</v>
      </c>
      <c r="C7" s="3">
        <v>8.0</v>
      </c>
      <c r="D7" s="3">
        <v>16.0</v>
      </c>
      <c r="E7" s="3" t="s">
        <v>38</v>
      </c>
      <c r="F7" s="3" t="s">
        <v>39</v>
      </c>
      <c r="G7" s="2" t="s">
        <v>40</v>
      </c>
      <c r="H7" s="3" t="s">
        <v>41</v>
      </c>
      <c r="I7" s="3" t="s">
        <v>42</v>
      </c>
    </row>
    <row r="8">
      <c r="A8" s="4" t="s">
        <v>43</v>
      </c>
      <c r="B8" s="5"/>
      <c r="C8" s="5"/>
      <c r="D8" s="6">
        <v>2.048</v>
      </c>
      <c r="E8" s="6" t="s">
        <v>44</v>
      </c>
      <c r="F8" s="5"/>
      <c r="G8" s="7"/>
      <c r="H8" s="5"/>
      <c r="I8" s="5"/>
    </row>
    <row r="9">
      <c r="A9" s="8"/>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29.88"/>
    <col customWidth="1" min="3" max="3" width="21.25"/>
    <col customWidth="1" min="4" max="4" width="15.25"/>
    <col customWidth="1" min="5" max="5" width="24.0"/>
    <col customWidth="1" min="6" max="6" width="18.63"/>
    <col customWidth="1" min="8" max="8" width="23.75"/>
    <col customWidth="1" min="9" max="9" width="15.88"/>
  </cols>
  <sheetData>
    <row r="1">
      <c r="A1" s="9" t="s">
        <v>45</v>
      </c>
      <c r="C1" s="10"/>
      <c r="D1" s="11"/>
      <c r="E1" s="10"/>
      <c r="F1" s="10"/>
      <c r="G1" s="10"/>
      <c r="H1" s="10"/>
      <c r="I1" s="10"/>
    </row>
    <row r="2">
      <c r="A2" s="1" t="s">
        <v>46</v>
      </c>
      <c r="B2" s="1" t="s">
        <v>47</v>
      </c>
      <c r="C2" s="1" t="s">
        <v>48</v>
      </c>
      <c r="D2" s="12" t="str">
        <f>+Cadangan(20%)</f>
        <v>#NAME?</v>
      </c>
      <c r="E2" s="1" t="s">
        <v>49</v>
      </c>
      <c r="F2" s="1" t="s">
        <v>50</v>
      </c>
      <c r="G2" s="1" t="s">
        <v>6</v>
      </c>
      <c r="H2" s="1" t="s">
        <v>7</v>
      </c>
      <c r="I2" s="1" t="s">
        <v>8</v>
      </c>
    </row>
    <row r="3">
      <c r="A3" s="13" t="s">
        <v>51</v>
      </c>
      <c r="B3" s="13" t="s">
        <v>52</v>
      </c>
      <c r="C3" s="14" t="s">
        <v>53</v>
      </c>
      <c r="D3" s="14">
        <v>95.0</v>
      </c>
      <c r="E3" s="14">
        <v>128.0</v>
      </c>
      <c r="F3" s="13" t="s">
        <v>20</v>
      </c>
      <c r="G3" s="13" t="s">
        <v>54</v>
      </c>
      <c r="H3" s="14" t="s">
        <v>55</v>
      </c>
      <c r="I3" s="14" t="s">
        <v>56</v>
      </c>
    </row>
    <row r="4">
      <c r="A4" s="13" t="s">
        <v>57</v>
      </c>
      <c r="B4" s="13" t="s">
        <v>58</v>
      </c>
      <c r="C4" s="14" t="s">
        <v>59</v>
      </c>
      <c r="D4" s="14">
        <v>102.0</v>
      </c>
      <c r="E4" s="14">
        <v>128.0</v>
      </c>
      <c r="F4" s="13" t="s">
        <v>20</v>
      </c>
      <c r="G4" s="13" t="s">
        <v>60</v>
      </c>
      <c r="H4" s="14" t="s">
        <v>61</v>
      </c>
      <c r="I4" s="14" t="s">
        <v>62</v>
      </c>
    </row>
    <row r="5">
      <c r="A5" s="13" t="s">
        <v>63</v>
      </c>
      <c r="B5" s="13" t="s">
        <v>64</v>
      </c>
      <c r="C5" s="14" t="s">
        <v>65</v>
      </c>
      <c r="D5" s="14">
        <v>94.0</v>
      </c>
      <c r="E5" s="14">
        <v>128.0</v>
      </c>
      <c r="F5" s="13" t="s">
        <v>20</v>
      </c>
      <c r="G5" s="13" t="s">
        <v>66</v>
      </c>
      <c r="H5" s="14" t="s">
        <v>67</v>
      </c>
      <c r="I5" s="14" t="s">
        <v>68</v>
      </c>
    </row>
    <row r="6">
      <c r="A6" s="13" t="s">
        <v>69</v>
      </c>
      <c r="B6" s="13" t="s">
        <v>70</v>
      </c>
      <c r="C6" s="14" t="s">
        <v>71</v>
      </c>
      <c r="D6" s="14">
        <v>104.0</v>
      </c>
      <c r="E6" s="14">
        <v>128.0</v>
      </c>
      <c r="F6" s="13" t="s">
        <v>20</v>
      </c>
      <c r="G6" s="13" t="s">
        <v>72</v>
      </c>
      <c r="H6" s="14" t="s">
        <v>73</v>
      </c>
      <c r="I6" s="14" t="s">
        <v>74</v>
      </c>
    </row>
    <row r="7">
      <c r="A7" s="13" t="s">
        <v>75</v>
      </c>
      <c r="B7" s="13" t="s">
        <v>76</v>
      </c>
      <c r="C7" s="14" t="s">
        <v>77</v>
      </c>
      <c r="D7" s="14">
        <v>45.0</v>
      </c>
      <c r="E7" s="14">
        <v>64.0</v>
      </c>
      <c r="F7" s="13" t="s">
        <v>26</v>
      </c>
      <c r="G7" s="13" t="s">
        <v>78</v>
      </c>
      <c r="H7" s="14" t="s">
        <v>79</v>
      </c>
      <c r="I7" s="14" t="s">
        <v>80</v>
      </c>
    </row>
    <row r="8">
      <c r="A8" s="8"/>
    </row>
    <row r="9">
      <c r="A9" s="15" t="s">
        <v>81</v>
      </c>
    </row>
    <row r="10">
      <c r="A10" s="16" t="s">
        <v>46</v>
      </c>
      <c r="B10" s="16" t="s">
        <v>82</v>
      </c>
      <c r="C10" s="16" t="s">
        <v>83</v>
      </c>
      <c r="D10" s="16" t="s">
        <v>84</v>
      </c>
      <c r="E10" s="16" t="s">
        <v>85</v>
      </c>
    </row>
    <row r="11">
      <c r="A11" s="13" t="s">
        <v>86</v>
      </c>
      <c r="B11" s="13" t="s">
        <v>87</v>
      </c>
      <c r="C11" s="13" t="s">
        <v>54</v>
      </c>
      <c r="D11" s="13" t="s">
        <v>88</v>
      </c>
      <c r="E11" s="13" t="s">
        <v>89</v>
      </c>
    </row>
    <row r="13">
      <c r="A13" s="17" t="s">
        <v>90</v>
      </c>
      <c r="B13" s="18"/>
    </row>
    <row r="14">
      <c r="A14" s="19" t="s">
        <v>91</v>
      </c>
      <c r="B14" s="18"/>
    </row>
  </sheetData>
  <mergeCells count="4">
    <mergeCell ref="A1:B1"/>
    <mergeCell ref="A9:B9"/>
    <mergeCell ref="A13:B13"/>
    <mergeCell ref="A14:B14"/>
  </mergeCells>
  <drawing r:id="rId1"/>
  <tableParts count="1">
    <tablePart r:id="rId3"/>
  </tableParts>
</worksheet>
</file>